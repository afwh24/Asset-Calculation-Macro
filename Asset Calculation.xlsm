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nga\Desktop\GITHUB\"/>
    </mc:Choice>
  </mc:AlternateContent>
  <xr:revisionPtr revIDLastSave="0" documentId="13_ncr:1_{B3C09A1C-FAA7-4F90-817F-73CE1559BA48}" xr6:coauthVersionLast="47" xr6:coauthVersionMax="47" xr10:uidLastSave="{00000000-0000-0000-0000-000000000000}"/>
  <bookViews>
    <workbookView xWindow="-120" yWindow="-120" windowWidth="29040" windowHeight="15840" activeTab="1" xr2:uid="{E99E8F2B-EC26-491D-B220-CD22D7A868A2}"/>
  </bookViews>
  <sheets>
    <sheet name="Macro Instructions" sheetId="4" r:id="rId1"/>
    <sheet name="Overall Portfolio" sheetId="3" r:id="rId2"/>
    <sheet name="Stocks" sheetId="6" r:id="rId3"/>
    <sheet name="Crypto" sheetId="1" r:id="rId4"/>
  </sheets>
  <definedNames>
    <definedName name="_xlnm._FilterDatabase" localSheetId="3" hidden="1">Crypto!$A$1:$H$29</definedName>
    <definedName name="_xlnm._FilterDatabase" localSheetId="2" hidden="1">Stocks!#REF!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E3" i="6"/>
  <c r="G3" i="6" s="1"/>
  <c r="G2" i="6"/>
  <c r="D62" i="1"/>
  <c r="D36" i="1"/>
  <c r="D44" i="1"/>
  <c r="D61" i="1"/>
  <c r="D35" i="1"/>
  <c r="D60" i="1"/>
  <c r="D59" i="1"/>
  <c r="D34" i="1"/>
  <c r="D58" i="1"/>
  <c r="D33" i="1"/>
  <c r="D32" i="1"/>
  <c r="D31" i="1"/>
  <c r="D30" i="1"/>
  <c r="D29" i="1"/>
  <c r="D57" i="1"/>
  <c r="D43" i="1"/>
  <c r="D49" i="1"/>
  <c r="D42" i="1"/>
  <c r="D28" i="1"/>
  <c r="D41" i="1"/>
  <c r="D56" i="1"/>
  <c r="D48" i="1"/>
  <c r="F2" i="6"/>
  <c r="D55" i="1"/>
  <c r="D47" i="1"/>
  <c r="D20" i="1"/>
  <c r="D54" i="1"/>
  <c r="D53" i="1"/>
  <c r="D46" i="1"/>
  <c r="B8" i="3"/>
  <c r="D19" i="1"/>
  <c r="D18" i="1"/>
  <c r="D52" i="1"/>
  <c r="D40" i="1"/>
  <c r="D51" i="1"/>
  <c r="D50" i="1"/>
  <c r="D27" i="1"/>
  <c r="D45" i="1"/>
  <c r="D17" i="1"/>
  <c r="D39" i="1"/>
  <c r="D16" i="1"/>
  <c r="D15" i="1"/>
  <c r="D14" i="1"/>
  <c r="G4" i="6" l="1"/>
  <c r="J3" i="6" s="1"/>
  <c r="D3" i="1"/>
  <c r="J2" i="6" l="1"/>
  <c r="J4" i="6" s="1"/>
  <c r="D26" i="1"/>
  <c r="D38" i="1"/>
  <c r="D13" i="1"/>
  <c r="D12" i="1"/>
  <c r="D11" i="1"/>
  <c r="D10" i="1"/>
  <c r="D9" i="1"/>
  <c r="D8" i="1"/>
  <c r="D4" i="1" l="1"/>
  <c r="D37" i="1" l="1"/>
  <c r="D7" i="1"/>
  <c r="D6" i="1"/>
  <c r="D5" i="1" l="1"/>
  <c r="D25" i="1"/>
  <c r="D24" i="1"/>
  <c r="D23" i="1"/>
  <c r="D22" i="1"/>
  <c r="B5" i="3" l="1"/>
  <c r="C4" i="3" l="1"/>
  <c r="C3" i="3"/>
  <c r="C2" i="3"/>
  <c r="C8" i="3"/>
  <c r="C5" i="3" l="1"/>
</calcChain>
</file>

<file path=xl/sharedStrings.xml><?xml version="1.0" encoding="utf-8"?>
<sst xmlns="http://schemas.openxmlformats.org/spreadsheetml/2006/main" count="170" uniqueCount="62">
  <si>
    <t>Name</t>
  </si>
  <si>
    <t>Quantity</t>
  </si>
  <si>
    <t>Price (BUSD)</t>
  </si>
  <si>
    <t>Total (BUSD)</t>
  </si>
  <si>
    <t>Transaction History</t>
  </si>
  <si>
    <t>Total Price (SGD)</t>
  </si>
  <si>
    <t>Total</t>
  </si>
  <si>
    <t>Graph</t>
  </si>
  <si>
    <t>Ticker</t>
  </si>
  <si>
    <t>Price (SGD)</t>
  </si>
  <si>
    <t>Price ($)</t>
  </si>
  <si>
    <t>Total Price ($)</t>
  </si>
  <si>
    <t>Cryptocurrency</t>
  </si>
  <si>
    <t>Stocks</t>
  </si>
  <si>
    <t>Total Amount Invested ($)</t>
  </si>
  <si>
    <t>Remarks</t>
  </si>
  <si>
    <t>Assets Allocation</t>
  </si>
  <si>
    <t>Assets Amount (SGD)</t>
  </si>
  <si>
    <t>Assets Percentage (%)</t>
  </si>
  <si>
    <t>Dividend Yield (%)</t>
  </si>
  <si>
    <t>Expense Ratio (%)</t>
  </si>
  <si>
    <t>Total Invested</t>
  </si>
  <si>
    <t>BASE CAPITAL AMOUNT</t>
  </si>
  <si>
    <t>Last Generated:</t>
  </si>
  <si>
    <t>Macro ShortCuts</t>
  </si>
  <si>
    <t>Macro Description</t>
  </si>
  <si>
    <t>Ctrl + R</t>
  </si>
  <si>
    <t>Generate Report</t>
  </si>
  <si>
    <t>Ctrl + Q</t>
  </si>
  <si>
    <t>Ctrl + W</t>
  </si>
  <si>
    <t>Ctrl + E</t>
  </si>
  <si>
    <t>Ctrl + A</t>
  </si>
  <si>
    <t>Clear Highlight</t>
  </si>
  <si>
    <t>Highlight Cell Yellow</t>
  </si>
  <si>
    <t>Ethereum</t>
  </si>
  <si>
    <t>Ctrl + N</t>
  </si>
  <si>
    <t xml:space="preserve"> </t>
  </si>
  <si>
    <t>Cardano</t>
  </si>
  <si>
    <t>Ctrl + Y</t>
  </si>
  <si>
    <t>Highlight Cell Red (Expenses)</t>
  </si>
  <si>
    <t>Highlight Cell Green (Staking)</t>
  </si>
  <si>
    <t>Highlight Cell Blue (Holding)</t>
  </si>
  <si>
    <t>Percentage (%)</t>
  </si>
  <si>
    <t>Chainlink</t>
  </si>
  <si>
    <t>MATIC</t>
  </si>
  <si>
    <t>Tezos</t>
  </si>
  <si>
    <t>Staking at Exodus (5.66%)</t>
  </si>
  <si>
    <t xml:space="preserve">Earning Interest in Celsius (7.25%) </t>
  </si>
  <si>
    <t xml:space="preserve">Earning Interest in Celsius (6%) </t>
  </si>
  <si>
    <t>Staking in Exodus Wallet (4.91%)</t>
  </si>
  <si>
    <t>Holding in Ledger Wallet</t>
  </si>
  <si>
    <t>Highlight Cell Purple (Stored in Ledger)</t>
  </si>
  <si>
    <t>Holding in Metamask Wallet only</t>
  </si>
  <si>
    <t>Algorand</t>
  </si>
  <si>
    <t>Holding in Ledger Wallet - Profits</t>
  </si>
  <si>
    <t>Holding in Metamask Wallet only - Profits</t>
  </si>
  <si>
    <t>Staking in Exodus Wallet (4.91%) - Profits</t>
  </si>
  <si>
    <t>LION-PHILLIP S-REIT</t>
  </si>
  <si>
    <t>CLR.SI</t>
  </si>
  <si>
    <t>Vanguard FTSE All-World UCITS ETF </t>
  </si>
  <si>
    <t>VWRA.LSE</t>
  </si>
  <si>
    <t>Saving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</si>
</sst>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1" fillId="0" borderId="0" xfId="0" applyFont="1" applyFill="1"/>
    <xf numFmtId="0" fontId="0" fillId="0" borderId="0" xfId="0" applyFill="1"/>
    <xf numFmtId="2" fontId="0" fillId="2" borderId="0" xfId="0" applyNumberFormat="1" applyFill="1"/>
    <xf numFmtId="2" fontId="0" fillId="0" borderId="0" xfId="0" applyNumberFormat="1"/>
    <xf numFmtId="2" fontId="0" fillId="0" borderId="0" xfId="0" applyNumberFormat="1" applyFill="1"/>
    <xf numFmtId="0" fontId="0" fillId="2" borderId="0" xfId="0" applyFill="1"/>
    <xf numFmtId="0" fontId="3" fillId="2" borderId="0" xfId="0" applyFont="1" applyFill="1"/>
    <xf numFmtId="16" fontId="0" fillId="0" borderId="0" xfId="0" applyNumberFormat="1"/>
    <xf numFmtId="4" fontId="0" fillId="0" borderId="0" xfId="0" applyNumberFormat="1" applyFill="1"/>
    <xf numFmtId="164" fontId="0" fillId="0" borderId="0" xfId="0" applyNumberFormat="1" applyFill="1"/>
    <xf numFmtId="0" fontId="1" fillId="3" borderId="0" xfId="0" applyFont="1" applyFill="1"/>
    <xf numFmtId="19" fontId="0" fillId="0" borderId="0" xfId="0" applyNumberFormat="1"/>
    <xf numFmtId="0" fontId="1" fillId="4" borderId="0" xfId="0" applyFont="1" applyFill="1"/>
    <xf numFmtId="14" fontId="1" fillId="0" borderId="0" xfId="0" applyNumberFormat="1" applyFont="1" applyFill="1"/>
    <xf numFmtId="164" fontId="1" fillId="4" borderId="0" xfId="0" applyNumberFormat="1" applyFont="1" applyFill="1"/>
    <xf numFmtId="0" fontId="1" fillId="5" borderId="0" xfId="0" applyFont="1" applyFill="1"/>
    <xf numFmtId="0" fontId="0" fillId="4" borderId="0" xfId="0" applyFill="1"/>
    <xf numFmtId="0" fontId="1" fillId="0" borderId="0" xfId="0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165" fontId="0" fillId="0" borderId="0" xfId="0" applyNumberFormat="1"/>
    <xf numFmtId="165" fontId="0" fillId="2" borderId="0" xfId="0" applyNumberFormat="1" applyFill="1"/>
    <xf numFmtId="165" fontId="0" fillId="0" borderId="0" xfId="0" applyNumberFormat="1" applyFill="1"/>
    <xf numFmtId="165" fontId="0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19050</xdr:rowOff>
        </xdr:from>
        <xdr:to>
          <xdr:col>2</xdr:col>
          <xdr:colOff>266700</xdr:colOff>
          <xdr:row>8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7478-0AAD-4AFB-80C3-CC50C26C1538}">
  <sheetPr codeName="Sheet4"/>
  <dimension ref="A1:O17"/>
  <sheetViews>
    <sheetView workbookViewId="0">
      <selection activeCell="G9" sqref="G9"/>
    </sheetView>
  </sheetViews>
  <sheetFormatPr defaultRowHeight="15" x14ac:dyDescent="0.25"/>
  <cols>
    <col min="1" max="1" width="14.28515625" bestFit="1" customWidth="1"/>
    <col min="3" max="3" width="11.28515625" bestFit="1" customWidth="1"/>
    <col min="6" max="6" width="15.28515625" bestFit="1" customWidth="1"/>
    <col min="7" max="7" width="24.42578125" bestFit="1" customWidth="1"/>
  </cols>
  <sheetData>
    <row r="1" spans="1:15" x14ac:dyDescent="0.25">
      <c r="A1" s="1" t="s">
        <v>23</v>
      </c>
      <c r="B1" s="12">
        <v>44971</v>
      </c>
      <c r="C1" s="16">
        <v>0.98815972222222215</v>
      </c>
      <c r="F1" s="1" t="s">
        <v>24</v>
      </c>
      <c r="G1" s="1" t="s">
        <v>25</v>
      </c>
    </row>
    <row r="2" spans="1:15" x14ac:dyDescent="0.25">
      <c r="F2" t="s">
        <v>26</v>
      </c>
      <c r="G2" t="s">
        <v>27</v>
      </c>
    </row>
    <row r="3" spans="1:15" x14ac:dyDescent="0.25">
      <c r="F3" t="s">
        <v>28</v>
      </c>
      <c r="G3" s="6" t="s">
        <v>39</v>
      </c>
    </row>
    <row r="4" spans="1:15" x14ac:dyDescent="0.25">
      <c r="F4" t="s">
        <v>29</v>
      </c>
      <c r="G4" s="6" t="s">
        <v>40</v>
      </c>
    </row>
    <row r="5" spans="1:15" x14ac:dyDescent="0.25">
      <c r="F5" t="s">
        <v>30</v>
      </c>
      <c r="G5" s="6" t="s">
        <v>41</v>
      </c>
    </row>
    <row r="6" spans="1:15" x14ac:dyDescent="0.25">
      <c r="F6" t="s">
        <v>31</v>
      </c>
      <c r="G6" s="6" t="s">
        <v>32</v>
      </c>
    </row>
    <row r="7" spans="1:15" x14ac:dyDescent="0.25">
      <c r="F7" t="s">
        <v>38</v>
      </c>
      <c r="G7" s="6" t="s">
        <v>33</v>
      </c>
    </row>
    <row r="8" spans="1:15" x14ac:dyDescent="0.25">
      <c r="F8" t="s">
        <v>35</v>
      </c>
      <c r="G8" s="6" t="s">
        <v>51</v>
      </c>
    </row>
    <row r="10" spans="1:15" x14ac:dyDescent="0.25">
      <c r="J10" s="6"/>
    </row>
    <row r="12" spans="1:15" x14ac:dyDescent="0.25">
      <c r="G12" s="6"/>
    </row>
    <row r="13" spans="1:15" x14ac:dyDescent="0.25">
      <c r="O13" s="6"/>
    </row>
    <row r="14" spans="1:15" x14ac:dyDescent="0.25">
      <c r="J14" s="6" t="s">
        <v>36</v>
      </c>
    </row>
    <row r="16" spans="1:15" x14ac:dyDescent="0.25">
      <c r="I16" s="6"/>
    </row>
    <row r="17" spans="9:9" x14ac:dyDescent="0.25">
      <c r="I17" s="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ctivateAllMacros">
                <anchor moveWithCells="1" sizeWithCells="1">
                  <from>
                    <xdr:col>0</xdr:col>
                    <xdr:colOff>19050</xdr:colOff>
                    <xdr:row>3</xdr:row>
                    <xdr:rowOff>19050</xdr:rowOff>
                  </from>
                  <to>
                    <xdr:col>2</xdr:col>
                    <xdr:colOff>266700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9E08F-22D6-489E-BF94-CA19423E5F00}">
  <sheetPr codeName="Sheet1"/>
  <dimension ref="A1:O24"/>
  <sheetViews>
    <sheetView tabSelected="1" workbookViewId="0">
      <selection activeCell="I9" sqref="I9"/>
    </sheetView>
  </sheetViews>
  <sheetFormatPr defaultRowHeight="15" x14ac:dyDescent="0.25"/>
  <cols>
    <col min="1" max="1" width="23.28515625" bestFit="1" customWidth="1"/>
    <col min="2" max="2" width="19" style="32" bestFit="1" customWidth="1"/>
    <col min="3" max="3" width="19.5703125" bestFit="1" customWidth="1"/>
    <col min="6" max="6" width="14.7109375" bestFit="1" customWidth="1"/>
    <col min="9" max="9" width="12.7109375" bestFit="1" customWidth="1"/>
    <col min="15" max="15" width="21" bestFit="1" customWidth="1"/>
  </cols>
  <sheetData>
    <row r="1" spans="1:15" x14ac:dyDescent="0.25">
      <c r="A1" s="1" t="s">
        <v>16</v>
      </c>
      <c r="B1" s="31" t="s">
        <v>17</v>
      </c>
      <c r="C1" s="1" t="s">
        <v>18</v>
      </c>
      <c r="F1" s="1"/>
      <c r="G1" s="12"/>
      <c r="O1" s="1"/>
    </row>
    <row r="2" spans="1:15" x14ac:dyDescent="0.25">
      <c r="A2" t="s">
        <v>13</v>
      </c>
      <c r="B2" s="32">
        <v>371272</v>
      </c>
      <c r="C2" s="8">
        <f>B2/B5*100</f>
        <v>75.848017053827689</v>
      </c>
    </row>
    <row r="3" spans="1:15" x14ac:dyDescent="0.25">
      <c r="A3" t="s">
        <v>12</v>
      </c>
      <c r="B3" s="32">
        <v>18222.668972712003</v>
      </c>
      <c r="C3" s="8">
        <f>B3/B5*100</f>
        <v>3.7227512632477451</v>
      </c>
    </row>
    <row r="4" spans="1:15" x14ac:dyDescent="0.25">
      <c r="A4" t="s">
        <v>61</v>
      </c>
      <c r="B4" s="32">
        <v>100000</v>
      </c>
      <c r="C4" s="8">
        <f>B4/B5*100</f>
        <v>20.429231682924566</v>
      </c>
    </row>
    <row r="5" spans="1:15" s="10" customFormat="1" x14ac:dyDescent="0.25">
      <c r="A5" s="2" t="s">
        <v>6</v>
      </c>
      <c r="B5" s="33">
        <f>SUM(B2:B4)</f>
        <v>489494.66897271201</v>
      </c>
      <c r="C5" s="7">
        <f>SUM(C2:C4)</f>
        <v>100</v>
      </c>
    </row>
    <row r="6" spans="1:15" s="6" customFormat="1" x14ac:dyDescent="0.25">
      <c r="A6" s="5"/>
      <c r="B6" s="34"/>
      <c r="C6" s="9"/>
    </row>
    <row r="7" spans="1:15" s="6" customFormat="1" x14ac:dyDescent="0.25">
      <c r="A7" s="5"/>
      <c r="B7" s="34"/>
      <c r="C7" s="9"/>
    </row>
    <row r="8" spans="1:15" s="10" customFormat="1" x14ac:dyDescent="0.25">
      <c r="A8" s="2" t="s">
        <v>14</v>
      </c>
      <c r="B8" s="35">
        <f>B2+B3</f>
        <v>389494.66897271201</v>
      </c>
      <c r="C8" s="7">
        <f>B8/B5*100</f>
        <v>79.570768317075434</v>
      </c>
    </row>
    <row r="23" ht="13.9" customHeight="1" x14ac:dyDescent="0.25"/>
    <row r="24" hidden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1ADF-D6A2-4803-B0D4-2638C91F89FB}">
  <sheetPr codeName="Sheet6"/>
  <dimension ref="A1:V7"/>
  <sheetViews>
    <sheetView workbookViewId="0">
      <selection activeCell="H14" sqref="H14"/>
    </sheetView>
  </sheetViews>
  <sheetFormatPr defaultRowHeight="15" x14ac:dyDescent="0.25"/>
  <cols>
    <col min="1" max="1" width="14.140625" style="26" customWidth="1"/>
    <col min="2" max="2" width="38" style="26" bestFit="1" customWidth="1"/>
    <col min="3" max="3" width="14.5703125" style="27" bestFit="1" customWidth="1"/>
    <col min="4" max="4" width="8.85546875" style="27"/>
    <col min="5" max="5" width="10.28515625" style="26" bestFit="1" customWidth="1"/>
    <col min="6" max="6" width="12.85546875" style="26" bestFit="1" customWidth="1"/>
    <col min="7" max="7" width="14.7109375" style="26" bestFit="1" customWidth="1"/>
    <col min="8" max="8" width="17.7109375" style="27" bestFit="1" customWidth="1"/>
    <col min="9" max="10" width="16" style="27" customWidth="1"/>
    <col min="11" max="11" width="9.28515625" style="26" bestFit="1" customWidth="1"/>
    <col min="12" max="12" width="11.85546875" style="26" bestFit="1" customWidth="1"/>
    <col min="13" max="13" width="9.140625" style="27" customWidth="1"/>
    <col min="14" max="14" width="11.85546875" style="26" bestFit="1" customWidth="1"/>
    <col min="15" max="15" width="9.7109375" style="26" bestFit="1" customWidth="1"/>
    <col min="16" max="16" width="11.85546875" style="26" bestFit="1" customWidth="1"/>
    <col min="17" max="17" width="15.5703125" style="26" bestFit="1" customWidth="1"/>
    <col min="18" max="18" width="11.85546875" style="26" bestFit="1" customWidth="1"/>
    <col min="19" max="19" width="8.5703125" style="27" bestFit="1" customWidth="1"/>
    <col min="20" max="20" width="11.85546875" style="27" bestFit="1" customWidth="1"/>
    <col min="21" max="21" width="14" style="26" bestFit="1" customWidth="1"/>
    <col min="22" max="22" width="11.85546875" style="26" bestFit="1" customWidth="1"/>
    <col min="23" max="16384" width="9.140625" style="26"/>
  </cols>
  <sheetData>
    <row r="1" spans="1:22" s="25" customFormat="1" x14ac:dyDescent="0.25">
      <c r="A1" s="22" t="s">
        <v>8</v>
      </c>
      <c r="B1" s="22" t="s">
        <v>0</v>
      </c>
      <c r="C1" s="23" t="s">
        <v>1</v>
      </c>
      <c r="D1" s="23" t="s">
        <v>10</v>
      </c>
      <c r="E1" s="22" t="s">
        <v>9</v>
      </c>
      <c r="F1" s="22" t="s">
        <v>11</v>
      </c>
      <c r="G1" s="22" t="s">
        <v>5</v>
      </c>
      <c r="H1" s="23" t="s">
        <v>19</v>
      </c>
      <c r="I1" s="23" t="s">
        <v>20</v>
      </c>
      <c r="J1" s="23" t="s">
        <v>42</v>
      </c>
      <c r="K1" s="24" t="s">
        <v>15</v>
      </c>
      <c r="L1" s="24"/>
      <c r="M1" s="23"/>
      <c r="N1" s="24"/>
      <c r="O1" s="24"/>
      <c r="P1" s="24"/>
      <c r="Q1" s="24"/>
      <c r="R1" s="24"/>
      <c r="S1" s="23"/>
      <c r="T1" s="23"/>
      <c r="U1" s="24"/>
      <c r="V1" s="24"/>
    </row>
    <row r="2" spans="1:22" x14ac:dyDescent="0.25">
      <c r="A2" s="26" t="s">
        <v>58</v>
      </c>
      <c r="B2" s="26" t="s">
        <v>57</v>
      </c>
      <c r="C2" s="27">
        <v>100000</v>
      </c>
      <c r="D2" s="27">
        <v>0.92200000000000004</v>
      </c>
      <c r="E2" s="26">
        <v>0.92200000000000004</v>
      </c>
      <c r="F2" s="26">
        <f t="shared" ref="F2:F3" si="0">C2*D2</f>
        <v>92200</v>
      </c>
      <c r="G2" s="26">
        <f>C2*E2</f>
        <v>92200</v>
      </c>
      <c r="H2" s="27">
        <v>5.2</v>
      </c>
      <c r="I2" s="28">
        <v>0.5</v>
      </c>
      <c r="J2" s="28">
        <f>G2/G4 * 100</f>
        <v>24.833545217522463</v>
      </c>
      <c r="N2" s="27"/>
    </row>
    <row r="3" spans="1:22" x14ac:dyDescent="0.25">
      <c r="A3" s="26" t="s">
        <v>60</v>
      </c>
      <c r="B3" s="26" t="s">
        <v>59</v>
      </c>
      <c r="C3" s="27">
        <v>2000</v>
      </c>
      <c r="D3" s="27">
        <v>103.36</v>
      </c>
      <c r="E3" s="26">
        <f>D3*1.35</f>
        <v>139.536</v>
      </c>
      <c r="F3" s="26">
        <f t="shared" si="0"/>
        <v>206720</v>
      </c>
      <c r="G3" s="26">
        <f>C3*E3</f>
        <v>279072</v>
      </c>
      <c r="H3" s="27">
        <v>0</v>
      </c>
      <c r="I3" s="28">
        <v>0.22</v>
      </c>
      <c r="J3" s="28">
        <f>G3/G4 * 100</f>
        <v>75.16645478247753</v>
      </c>
      <c r="N3" s="27"/>
    </row>
    <row r="4" spans="1:22" x14ac:dyDescent="0.25">
      <c r="A4" s="29" t="s">
        <v>6</v>
      </c>
      <c r="F4" s="29" t="s">
        <v>21</v>
      </c>
      <c r="G4" s="26">
        <f>SUM(G2:G3)</f>
        <v>371272</v>
      </c>
      <c r="H4" s="30"/>
      <c r="I4" s="30"/>
      <c r="J4" s="30">
        <f>SUM(J2:J3)</f>
        <v>100</v>
      </c>
    </row>
    <row r="5" spans="1:22" x14ac:dyDescent="0.25">
      <c r="F5" s="29"/>
      <c r="H5" s="30"/>
      <c r="I5" s="30"/>
      <c r="J5" s="30"/>
    </row>
    <row r="6" spans="1:22" x14ac:dyDescent="0.25">
      <c r="L6" s="29"/>
    </row>
    <row r="7" spans="1:22" x14ac:dyDescent="0.25">
      <c r="L7" s="29"/>
      <c r="M7" s="30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E83D5-3CD8-4394-A96E-1907DC0BCB3D}">
  <sheetPr codeName="Sheet3"/>
  <dimension ref="A1:P62"/>
  <sheetViews>
    <sheetView zoomScaleNormal="100" workbookViewId="0">
      <selection activeCell="H2" sqref="H2"/>
    </sheetView>
  </sheetViews>
  <sheetFormatPr defaultRowHeight="15" x14ac:dyDescent="0.25"/>
  <cols>
    <col min="1" max="1" width="9.42578125" customWidth="1"/>
    <col min="2" max="2" width="12.7109375" bestFit="1" customWidth="1"/>
    <col min="3" max="3" width="15.85546875" bestFit="1" customWidth="1"/>
    <col min="4" max="4" width="19.140625" bestFit="1" customWidth="1"/>
    <col min="5" max="5" width="60.7109375" style="1" bestFit="1" customWidth="1"/>
    <col min="6" max="6" width="17" bestFit="1" customWidth="1"/>
    <col min="7" max="7" width="29.28515625" bestFit="1" customWidth="1"/>
    <col min="8" max="8" width="8.42578125" bestFit="1" customWidth="1"/>
    <col min="10" max="10" width="16.140625" bestFit="1" customWidth="1"/>
    <col min="11" max="11" width="8.7109375" customWidth="1"/>
    <col min="12" max="12" width="25.85546875" bestFit="1" customWidth="1"/>
    <col min="13" max="13" width="15.85546875" bestFit="1" customWidth="1"/>
    <col min="14" max="14" width="15.85546875" customWidth="1"/>
    <col min="15" max="15" width="18.28515625" bestFit="1" customWidth="1"/>
    <col min="16" max="16" width="17.85546875" bestFit="1" customWidth="1"/>
  </cols>
  <sheetData>
    <row r="1" spans="1:16" ht="19.5" x14ac:dyDescent="0.3">
      <c r="A1" s="3" t="s">
        <v>4</v>
      </c>
      <c r="B1" s="1"/>
      <c r="C1" s="1"/>
      <c r="D1" s="1"/>
      <c r="G1" s="11" t="s">
        <v>22</v>
      </c>
      <c r="H1" s="11">
        <v>10000</v>
      </c>
      <c r="K1" s="3"/>
      <c r="L1" s="4"/>
    </row>
    <row r="2" spans="1:16" x14ac:dyDescent="0.25">
      <c r="A2" s="1" t="s">
        <v>0</v>
      </c>
      <c r="B2" s="1" t="s">
        <v>1</v>
      </c>
      <c r="C2" s="1" t="s">
        <v>2</v>
      </c>
      <c r="D2" s="1" t="s">
        <v>3</v>
      </c>
      <c r="E2" s="2" t="s">
        <v>15</v>
      </c>
      <c r="H2" s="18"/>
      <c r="K2" s="1"/>
      <c r="L2" s="1"/>
      <c r="M2" s="1"/>
      <c r="N2" s="1"/>
      <c r="O2" s="5"/>
      <c r="P2" s="1"/>
    </row>
    <row r="3" spans="1:16" x14ac:dyDescent="0.25">
      <c r="A3" t="s">
        <v>7</v>
      </c>
      <c r="B3" s="6">
        <v>282</v>
      </c>
      <c r="C3">
        <v>1.62</v>
      </c>
      <c r="D3">
        <f t="shared" ref="D3" si="0">B3*C3</f>
        <v>456.84000000000003</v>
      </c>
      <c r="E3" s="17" t="s">
        <v>52</v>
      </c>
    </row>
    <row r="4" spans="1:16" x14ac:dyDescent="0.25">
      <c r="A4" t="s">
        <v>7</v>
      </c>
      <c r="B4">
        <v>47</v>
      </c>
      <c r="C4">
        <v>1.2712000000000001</v>
      </c>
      <c r="D4">
        <f t="shared" ref="D4:D7" si="1">B4*C4</f>
        <v>59.746400000000008</v>
      </c>
      <c r="E4" s="17" t="s">
        <v>52</v>
      </c>
    </row>
    <row r="5" spans="1:16" x14ac:dyDescent="0.25">
      <c r="A5" t="s">
        <v>7</v>
      </c>
      <c r="B5">
        <v>100.61</v>
      </c>
      <c r="C5">
        <v>0.7</v>
      </c>
      <c r="D5">
        <f t="shared" si="1"/>
        <v>70.426999999999992</v>
      </c>
      <c r="E5" s="17" t="s">
        <v>52</v>
      </c>
    </row>
    <row r="6" spans="1:16" x14ac:dyDescent="0.25">
      <c r="A6" t="s">
        <v>7</v>
      </c>
      <c r="B6">
        <v>157.47999999999999</v>
      </c>
      <c r="C6">
        <v>0.68600000000000005</v>
      </c>
      <c r="D6">
        <f t="shared" si="1"/>
        <v>108.03128</v>
      </c>
      <c r="E6" s="17" t="s">
        <v>52</v>
      </c>
    </row>
    <row r="7" spans="1:16" x14ac:dyDescent="0.25">
      <c r="A7" t="s">
        <v>7</v>
      </c>
      <c r="B7">
        <v>113.61</v>
      </c>
      <c r="C7">
        <v>0.626</v>
      </c>
      <c r="D7">
        <f t="shared" si="1"/>
        <v>71.119860000000003</v>
      </c>
      <c r="E7" s="17" t="s">
        <v>52</v>
      </c>
    </row>
    <row r="8" spans="1:16" x14ac:dyDescent="0.25">
      <c r="A8" t="s">
        <v>7</v>
      </c>
      <c r="B8">
        <v>66.3</v>
      </c>
      <c r="C8">
        <v>1.2712000000000001</v>
      </c>
      <c r="D8">
        <f t="shared" ref="D8:D13" si="2">B8*C8</f>
        <v>84.280560000000008</v>
      </c>
      <c r="E8" s="17" t="s">
        <v>52</v>
      </c>
    </row>
    <row r="9" spans="1:16" x14ac:dyDescent="0.25">
      <c r="A9" t="s">
        <v>7</v>
      </c>
      <c r="B9">
        <v>85.41</v>
      </c>
      <c r="C9">
        <v>0.69769999999999999</v>
      </c>
      <c r="D9">
        <f t="shared" si="2"/>
        <v>59.590556999999997</v>
      </c>
      <c r="E9" s="17" t="s">
        <v>52</v>
      </c>
    </row>
    <row r="10" spans="1:16" x14ac:dyDescent="0.25">
      <c r="A10" t="s">
        <v>7</v>
      </c>
      <c r="B10">
        <v>146.05000000000001</v>
      </c>
      <c r="C10">
        <v>0.61170000000000002</v>
      </c>
      <c r="D10">
        <f t="shared" si="2"/>
        <v>89.338785000000016</v>
      </c>
      <c r="E10" s="17" t="s">
        <v>52</v>
      </c>
    </row>
    <row r="11" spans="1:16" x14ac:dyDescent="0.25">
      <c r="A11" t="s">
        <v>7</v>
      </c>
      <c r="B11">
        <v>143.99</v>
      </c>
      <c r="C11">
        <v>0.61750000000000005</v>
      </c>
      <c r="D11">
        <f t="shared" si="2"/>
        <v>88.913825000000017</v>
      </c>
      <c r="E11" s="17" t="s">
        <v>52</v>
      </c>
    </row>
    <row r="12" spans="1:16" x14ac:dyDescent="0.25">
      <c r="A12" t="s">
        <v>7</v>
      </c>
      <c r="B12">
        <v>174</v>
      </c>
      <c r="C12">
        <v>0.85</v>
      </c>
      <c r="D12">
        <f t="shared" si="2"/>
        <v>147.9</v>
      </c>
      <c r="E12" s="17" t="s">
        <v>52</v>
      </c>
    </row>
    <row r="13" spans="1:16" x14ac:dyDescent="0.25">
      <c r="A13" t="s">
        <v>7</v>
      </c>
      <c r="B13">
        <v>593</v>
      </c>
      <c r="C13">
        <v>0.79</v>
      </c>
      <c r="D13">
        <f t="shared" si="2"/>
        <v>468.47</v>
      </c>
      <c r="E13" s="17" t="s">
        <v>52</v>
      </c>
    </row>
    <row r="14" spans="1:16" x14ac:dyDescent="0.25">
      <c r="A14" t="s">
        <v>7</v>
      </c>
      <c r="B14">
        <v>49.72</v>
      </c>
      <c r="C14">
        <v>0.71</v>
      </c>
      <c r="D14">
        <f>B14*C14</f>
        <v>35.301199999999994</v>
      </c>
      <c r="E14" s="17" t="s">
        <v>52</v>
      </c>
    </row>
    <row r="15" spans="1:16" x14ac:dyDescent="0.25">
      <c r="A15" t="s">
        <v>7</v>
      </c>
      <c r="B15">
        <v>118.62</v>
      </c>
      <c r="C15">
        <v>0.59899999999999998</v>
      </c>
      <c r="D15">
        <f t="shared" ref="D15:D20" si="3">B15*C15</f>
        <v>71.053380000000004</v>
      </c>
      <c r="E15" s="17" t="s">
        <v>52</v>
      </c>
    </row>
    <row r="16" spans="1:16" x14ac:dyDescent="0.25">
      <c r="A16" t="s">
        <v>7</v>
      </c>
      <c r="B16">
        <v>221.92</v>
      </c>
      <c r="C16">
        <v>0.48699999999999999</v>
      </c>
      <c r="D16">
        <f t="shared" si="3"/>
        <v>108.07503999999999</v>
      </c>
      <c r="E16" s="17" t="s">
        <v>52</v>
      </c>
    </row>
    <row r="17" spans="1:5" x14ac:dyDescent="0.25">
      <c r="A17" t="s">
        <v>7</v>
      </c>
      <c r="B17">
        <v>278.08999999999997</v>
      </c>
      <c r="C17">
        <v>0.38800000000000001</v>
      </c>
      <c r="D17">
        <f t="shared" si="3"/>
        <v>107.89891999999999</v>
      </c>
      <c r="E17" s="17" t="s">
        <v>52</v>
      </c>
    </row>
    <row r="18" spans="1:5" x14ac:dyDescent="0.25">
      <c r="A18" t="s">
        <v>7</v>
      </c>
      <c r="B18">
        <v>311.7</v>
      </c>
      <c r="C18">
        <v>0.46500000000000002</v>
      </c>
      <c r="D18">
        <f t="shared" si="3"/>
        <v>144.94050000000001</v>
      </c>
      <c r="E18" s="17" t="s">
        <v>52</v>
      </c>
    </row>
    <row r="19" spans="1:5" x14ac:dyDescent="0.25">
      <c r="A19" t="s">
        <v>7</v>
      </c>
      <c r="B19">
        <v>1168.8</v>
      </c>
      <c r="C19">
        <v>0.374</v>
      </c>
      <c r="D19">
        <f t="shared" si="3"/>
        <v>437.13119999999998</v>
      </c>
      <c r="E19" s="17" t="s">
        <v>52</v>
      </c>
    </row>
    <row r="20" spans="1:5" x14ac:dyDescent="0.25">
      <c r="A20" t="s">
        <v>7</v>
      </c>
      <c r="B20">
        <v>618.91</v>
      </c>
      <c r="C20">
        <v>0.35299999999999998</v>
      </c>
      <c r="D20">
        <f t="shared" si="3"/>
        <v>218.47522999999998</v>
      </c>
      <c r="E20" s="17" t="s">
        <v>52</v>
      </c>
    </row>
    <row r="21" spans="1:5" x14ac:dyDescent="0.25">
      <c r="A21" t="s">
        <v>7</v>
      </c>
      <c r="B21">
        <v>2533.8162000000002</v>
      </c>
      <c r="C21" s="21">
        <v>0</v>
      </c>
      <c r="D21">
        <v>0</v>
      </c>
      <c r="E21" s="17" t="s">
        <v>55</v>
      </c>
    </row>
    <row r="22" spans="1:5" x14ac:dyDescent="0.25">
      <c r="A22" t="s">
        <v>37</v>
      </c>
      <c r="B22">
        <v>68.6614</v>
      </c>
      <c r="C22">
        <v>1.8</v>
      </c>
      <c r="D22">
        <f t="shared" ref="D22:D36" si="4">B22*C22</f>
        <v>123.59052</v>
      </c>
      <c r="E22" s="17" t="s">
        <v>49</v>
      </c>
    </row>
    <row r="23" spans="1:5" x14ac:dyDescent="0.25">
      <c r="A23" t="s">
        <v>37</v>
      </c>
      <c r="B23">
        <v>57.924300000000002</v>
      </c>
      <c r="C23">
        <v>1.8</v>
      </c>
      <c r="D23">
        <f t="shared" si="4"/>
        <v>104.26374000000001</v>
      </c>
      <c r="E23" s="17" t="s">
        <v>49</v>
      </c>
    </row>
    <row r="24" spans="1:5" x14ac:dyDescent="0.25">
      <c r="A24" t="s">
        <v>37</v>
      </c>
      <c r="B24">
        <v>118.45</v>
      </c>
      <c r="C24">
        <v>1.6</v>
      </c>
      <c r="D24">
        <f t="shared" si="4"/>
        <v>189.52</v>
      </c>
      <c r="E24" s="17" t="s">
        <v>49</v>
      </c>
    </row>
    <row r="25" spans="1:5" x14ac:dyDescent="0.25">
      <c r="A25" t="s">
        <v>37</v>
      </c>
      <c r="B25">
        <v>20</v>
      </c>
      <c r="C25" s="21">
        <v>0</v>
      </c>
      <c r="D25">
        <f t="shared" si="4"/>
        <v>0</v>
      </c>
      <c r="E25" s="17" t="s">
        <v>56</v>
      </c>
    </row>
    <row r="26" spans="1:5" x14ac:dyDescent="0.25">
      <c r="A26" t="s">
        <v>37</v>
      </c>
      <c r="B26">
        <v>59.95</v>
      </c>
      <c r="C26">
        <v>1.2</v>
      </c>
      <c r="D26">
        <f t="shared" si="4"/>
        <v>71.94</v>
      </c>
      <c r="E26" s="17" t="s">
        <v>49</v>
      </c>
    </row>
    <row r="27" spans="1:5" x14ac:dyDescent="0.25">
      <c r="A27" s="6" t="s">
        <v>37</v>
      </c>
      <c r="B27" s="6">
        <v>97.23</v>
      </c>
      <c r="C27" s="6">
        <v>0.751</v>
      </c>
      <c r="D27" s="6">
        <f t="shared" si="4"/>
        <v>73.01973000000001</v>
      </c>
      <c r="E27" s="17" t="s">
        <v>49</v>
      </c>
    </row>
    <row r="28" spans="1:5" x14ac:dyDescent="0.25">
      <c r="A28" s="6" t="s">
        <v>37</v>
      </c>
      <c r="B28" s="6">
        <v>273.45999999999998</v>
      </c>
      <c r="C28" s="6">
        <v>0.66200000000000003</v>
      </c>
      <c r="D28" s="6">
        <f t="shared" si="4"/>
        <v>181.03052</v>
      </c>
      <c r="E28" s="17" t="s">
        <v>49</v>
      </c>
    </row>
    <row r="29" spans="1:5" x14ac:dyDescent="0.25">
      <c r="A29" s="6" t="s">
        <v>37</v>
      </c>
      <c r="B29" s="6">
        <v>541.29</v>
      </c>
      <c r="C29" s="6">
        <v>0.48</v>
      </c>
      <c r="D29" s="6">
        <f t="shared" si="4"/>
        <v>259.81919999999997</v>
      </c>
      <c r="E29" s="17" t="s">
        <v>49</v>
      </c>
    </row>
    <row r="30" spans="1:5" x14ac:dyDescent="0.25">
      <c r="A30" s="6" t="s">
        <v>37</v>
      </c>
      <c r="B30" s="6">
        <v>100.97</v>
      </c>
      <c r="C30" s="6">
        <v>0.46</v>
      </c>
      <c r="D30" s="6">
        <f t="shared" si="4"/>
        <v>46.446200000000005</v>
      </c>
      <c r="E30" s="17" t="s">
        <v>49</v>
      </c>
    </row>
    <row r="31" spans="1:5" x14ac:dyDescent="0.25">
      <c r="A31" s="6" t="s">
        <v>37</v>
      </c>
      <c r="B31" s="6">
        <v>255.8</v>
      </c>
      <c r="C31" s="6">
        <v>0.47</v>
      </c>
      <c r="D31" s="6">
        <f t="shared" si="4"/>
        <v>120.226</v>
      </c>
      <c r="E31" s="17" t="s">
        <v>49</v>
      </c>
    </row>
    <row r="32" spans="1:5" x14ac:dyDescent="0.25">
      <c r="A32" s="6" t="s">
        <v>37</v>
      </c>
      <c r="B32" s="6">
        <v>132</v>
      </c>
      <c r="C32" s="6">
        <v>0.5</v>
      </c>
      <c r="D32" s="6">
        <f t="shared" si="4"/>
        <v>66</v>
      </c>
      <c r="E32" s="17" t="s">
        <v>49</v>
      </c>
    </row>
    <row r="33" spans="1:8" x14ac:dyDescent="0.25">
      <c r="A33" s="6" t="s">
        <v>37</v>
      </c>
      <c r="B33" s="6">
        <v>154.34</v>
      </c>
      <c r="C33" s="6">
        <v>0.45850000000000002</v>
      </c>
      <c r="D33" s="6">
        <f t="shared" si="4"/>
        <v>70.764890000000008</v>
      </c>
      <c r="E33" s="17" t="s">
        <v>49</v>
      </c>
    </row>
    <row r="34" spans="1:8" x14ac:dyDescent="0.25">
      <c r="A34" s="6" t="s">
        <v>37</v>
      </c>
      <c r="B34" s="6">
        <v>383.47</v>
      </c>
      <c r="C34" s="6">
        <v>0.36699999999999999</v>
      </c>
      <c r="D34" s="6">
        <f t="shared" si="4"/>
        <v>140.73349000000002</v>
      </c>
      <c r="E34" s="17" t="s">
        <v>49</v>
      </c>
    </row>
    <row r="35" spans="1:8" x14ac:dyDescent="0.25">
      <c r="A35" s="6" t="s">
        <v>37</v>
      </c>
      <c r="B35" s="6">
        <v>219.4</v>
      </c>
      <c r="C35" s="6">
        <v>0.32500000000000001</v>
      </c>
      <c r="D35" s="6">
        <f t="shared" si="4"/>
        <v>71.305000000000007</v>
      </c>
      <c r="E35" s="17" t="s">
        <v>49</v>
      </c>
    </row>
    <row r="36" spans="1:8" x14ac:dyDescent="0.25">
      <c r="A36" s="6" t="s">
        <v>37</v>
      </c>
      <c r="B36" s="6">
        <v>1373.46</v>
      </c>
      <c r="C36" s="6">
        <v>0.26700000000000002</v>
      </c>
      <c r="D36" s="6">
        <f t="shared" si="4"/>
        <v>366.71382000000006</v>
      </c>
      <c r="E36" s="17" t="s">
        <v>49</v>
      </c>
    </row>
    <row r="37" spans="1:8" x14ac:dyDescent="0.25">
      <c r="A37" t="s">
        <v>43</v>
      </c>
      <c r="B37">
        <v>9.69</v>
      </c>
      <c r="C37">
        <v>18.8</v>
      </c>
      <c r="D37">
        <f t="shared" ref="D37:D44" si="5">B37*C37</f>
        <v>182.172</v>
      </c>
      <c r="E37" s="20" t="s">
        <v>50</v>
      </c>
    </row>
    <row r="38" spans="1:8" x14ac:dyDescent="0.25">
      <c r="A38" t="s">
        <v>43</v>
      </c>
      <c r="B38">
        <v>5.54</v>
      </c>
      <c r="C38">
        <v>19.510000000000002</v>
      </c>
      <c r="D38">
        <f t="shared" si="5"/>
        <v>108.08540000000001</v>
      </c>
      <c r="E38" s="20" t="s">
        <v>50</v>
      </c>
    </row>
    <row r="39" spans="1:8" x14ac:dyDescent="0.25">
      <c r="A39" t="s">
        <v>43</v>
      </c>
      <c r="B39">
        <v>6.29</v>
      </c>
      <c r="C39">
        <v>17.2</v>
      </c>
      <c r="D39">
        <f t="shared" si="5"/>
        <v>108.188</v>
      </c>
      <c r="E39" s="20" t="s">
        <v>50</v>
      </c>
    </row>
    <row r="40" spans="1:8" x14ac:dyDescent="0.25">
      <c r="A40" t="s">
        <v>43</v>
      </c>
      <c r="B40">
        <v>27.447512</v>
      </c>
      <c r="C40">
        <v>13.3</v>
      </c>
      <c r="D40">
        <f t="shared" si="5"/>
        <v>365.05190959999999</v>
      </c>
      <c r="E40" s="20" t="s">
        <v>50</v>
      </c>
    </row>
    <row r="41" spans="1:8" x14ac:dyDescent="0.25">
      <c r="A41" t="s">
        <v>43</v>
      </c>
      <c r="B41">
        <v>33.298000000000002</v>
      </c>
      <c r="C41">
        <v>10.72</v>
      </c>
      <c r="D41">
        <f t="shared" si="5"/>
        <v>356.95456000000001</v>
      </c>
      <c r="E41" s="20" t="s">
        <v>50</v>
      </c>
    </row>
    <row r="42" spans="1:8" x14ac:dyDescent="0.25">
      <c r="A42" t="s">
        <v>43</v>
      </c>
      <c r="B42">
        <v>20.63</v>
      </c>
      <c r="C42">
        <v>8.64</v>
      </c>
      <c r="D42">
        <f t="shared" si="5"/>
        <v>178.2432</v>
      </c>
      <c r="E42" s="20" t="s">
        <v>50</v>
      </c>
    </row>
    <row r="43" spans="1:8" x14ac:dyDescent="0.25">
      <c r="A43" t="s">
        <v>43</v>
      </c>
      <c r="B43">
        <v>36.201999999999998</v>
      </c>
      <c r="C43">
        <v>5.91</v>
      </c>
      <c r="D43">
        <f t="shared" si="5"/>
        <v>213.95382000000001</v>
      </c>
      <c r="E43" s="20" t="s">
        <v>50</v>
      </c>
    </row>
    <row r="44" spans="1:8" x14ac:dyDescent="0.25">
      <c r="A44" s="6" t="s">
        <v>43</v>
      </c>
      <c r="B44" s="6">
        <v>61.28</v>
      </c>
      <c r="C44" s="6">
        <v>5.95</v>
      </c>
      <c r="D44" s="6">
        <f t="shared" si="5"/>
        <v>364.61600000000004</v>
      </c>
      <c r="E44" s="20" t="s">
        <v>50</v>
      </c>
    </row>
    <row r="45" spans="1:8" x14ac:dyDescent="0.25">
      <c r="A45" s="6" t="s">
        <v>44</v>
      </c>
      <c r="B45" s="6">
        <v>224.61</v>
      </c>
      <c r="C45" s="6">
        <v>1.3</v>
      </c>
      <c r="D45" s="6">
        <f t="shared" ref="D45:D62" si="6">B45*C45</f>
        <v>291.99300000000005</v>
      </c>
      <c r="E45" s="15" t="s">
        <v>47</v>
      </c>
      <c r="F45" s="5"/>
      <c r="G45" s="5"/>
      <c r="H45" s="5"/>
    </row>
    <row r="46" spans="1:8" x14ac:dyDescent="0.25">
      <c r="A46" s="6" t="s">
        <v>44</v>
      </c>
      <c r="B46" s="6">
        <v>162.57</v>
      </c>
      <c r="C46" s="6">
        <v>1.3460000000000001</v>
      </c>
      <c r="D46" s="6">
        <f t="shared" si="6"/>
        <v>218.81922</v>
      </c>
      <c r="E46" s="15" t="s">
        <v>47</v>
      </c>
      <c r="F46" s="5"/>
      <c r="G46" s="5"/>
      <c r="H46" s="5"/>
    </row>
    <row r="47" spans="1:8" x14ac:dyDescent="0.25">
      <c r="A47" s="6" t="s">
        <v>44</v>
      </c>
      <c r="B47" s="6">
        <v>109.67</v>
      </c>
      <c r="C47" s="6">
        <v>1.323</v>
      </c>
      <c r="D47" s="6">
        <f t="shared" si="6"/>
        <v>145.09341000000001</v>
      </c>
      <c r="E47" s="15" t="s">
        <v>47</v>
      </c>
      <c r="F47" s="5"/>
      <c r="G47" s="5"/>
      <c r="H47" s="5"/>
    </row>
    <row r="48" spans="1:8" x14ac:dyDescent="0.25">
      <c r="A48" s="6" t="s">
        <v>44</v>
      </c>
      <c r="B48" s="6">
        <v>201.46700000000001</v>
      </c>
      <c r="C48" s="6">
        <v>1.06</v>
      </c>
      <c r="D48" s="6">
        <f t="shared" si="6"/>
        <v>213.55502000000001</v>
      </c>
      <c r="E48" s="15" t="s">
        <v>47</v>
      </c>
      <c r="F48" s="5"/>
      <c r="G48" s="5"/>
      <c r="H48" s="5"/>
    </row>
    <row r="49" spans="1:8" x14ac:dyDescent="0.25">
      <c r="A49" s="6" t="s">
        <v>44</v>
      </c>
      <c r="B49" s="6">
        <v>529.12297999999998</v>
      </c>
      <c r="C49" s="6">
        <v>0.67400000000000004</v>
      </c>
      <c r="D49" s="6">
        <f t="shared" si="6"/>
        <v>356.62888852000003</v>
      </c>
      <c r="E49" s="15" t="s">
        <v>47</v>
      </c>
      <c r="F49" s="5"/>
      <c r="G49" s="5"/>
      <c r="H49" s="5"/>
    </row>
    <row r="50" spans="1:8" x14ac:dyDescent="0.25">
      <c r="A50" s="6" t="s">
        <v>34</v>
      </c>
      <c r="B50" s="6">
        <v>1.5</v>
      </c>
      <c r="C50" s="6">
        <v>2500</v>
      </c>
      <c r="D50" s="6">
        <f t="shared" ref="D50" si="7">B50*C50</f>
        <v>3750</v>
      </c>
      <c r="E50" s="15" t="s">
        <v>48</v>
      </c>
      <c r="F50" s="5"/>
      <c r="G50" s="5"/>
      <c r="H50" s="5"/>
    </row>
    <row r="51" spans="1:8" x14ac:dyDescent="0.25">
      <c r="A51" t="s">
        <v>45</v>
      </c>
      <c r="B51" s="6">
        <v>72.989999999999995</v>
      </c>
      <c r="C51" s="6">
        <v>3.01</v>
      </c>
      <c r="D51" s="6">
        <f t="shared" si="6"/>
        <v>219.69989999999996</v>
      </c>
      <c r="E51" s="17" t="s">
        <v>46</v>
      </c>
      <c r="F51" s="5"/>
      <c r="G51" s="5"/>
      <c r="H51" s="5"/>
    </row>
    <row r="52" spans="1:8" x14ac:dyDescent="0.25">
      <c r="A52" t="s">
        <v>45</v>
      </c>
      <c r="B52" s="6">
        <v>48.688000000000002</v>
      </c>
      <c r="C52" s="6">
        <v>2.98</v>
      </c>
      <c r="D52" s="6">
        <f t="shared" si="6"/>
        <v>145.09023999999999</v>
      </c>
      <c r="E52" s="17" t="s">
        <v>46</v>
      </c>
      <c r="F52" s="5"/>
      <c r="G52" s="5"/>
      <c r="H52" s="5"/>
    </row>
    <row r="53" spans="1:8" x14ac:dyDescent="0.25">
      <c r="A53" t="s">
        <v>45</v>
      </c>
      <c r="B53" s="6">
        <v>72.349999999999994</v>
      </c>
      <c r="C53" s="6">
        <v>3.0249999999999999</v>
      </c>
      <c r="D53" s="6">
        <f t="shared" si="6"/>
        <v>218.85874999999999</v>
      </c>
      <c r="E53" s="17" t="s">
        <v>46</v>
      </c>
      <c r="F53" s="5"/>
      <c r="G53" s="5"/>
      <c r="H53" s="5"/>
    </row>
    <row r="54" spans="1:8" x14ac:dyDescent="0.25">
      <c r="A54" t="s">
        <v>45</v>
      </c>
      <c r="B54" s="6">
        <v>73.206999999999994</v>
      </c>
      <c r="C54" s="6">
        <v>2.99</v>
      </c>
      <c r="D54" s="6">
        <f t="shared" si="6"/>
        <v>218.88892999999999</v>
      </c>
      <c r="E54" s="17" t="s">
        <v>46</v>
      </c>
      <c r="F54" s="5"/>
      <c r="G54" s="5"/>
      <c r="H54" s="5"/>
    </row>
    <row r="55" spans="1:8" x14ac:dyDescent="0.25">
      <c r="A55" t="s">
        <v>45</v>
      </c>
      <c r="B55" s="6">
        <v>48.79</v>
      </c>
      <c r="C55" s="6">
        <v>2.9750000000000001</v>
      </c>
      <c r="D55" s="6">
        <f t="shared" si="6"/>
        <v>145.15025</v>
      </c>
      <c r="E55" s="17" t="s">
        <v>46</v>
      </c>
      <c r="F55" s="5"/>
      <c r="G55" s="5"/>
      <c r="H55" s="5"/>
    </row>
    <row r="56" spans="1:8" x14ac:dyDescent="0.25">
      <c r="A56" s="6" t="s">
        <v>45</v>
      </c>
      <c r="B56" s="13">
        <v>55.515999999999998</v>
      </c>
      <c r="C56" s="6">
        <v>2.5579999999999998</v>
      </c>
      <c r="D56" s="6">
        <f t="shared" si="6"/>
        <v>142.00992799999997</v>
      </c>
      <c r="E56" s="19" t="s">
        <v>46</v>
      </c>
      <c r="F56" s="9"/>
      <c r="G56" s="9"/>
      <c r="H56" s="6"/>
    </row>
    <row r="57" spans="1:8" x14ac:dyDescent="0.25">
      <c r="A57" s="6" t="s">
        <v>45</v>
      </c>
      <c r="B57" s="13">
        <v>107.205</v>
      </c>
      <c r="C57" s="6">
        <v>1.5580000000000001</v>
      </c>
      <c r="D57" s="14">
        <f t="shared" si="6"/>
        <v>167.02539000000002</v>
      </c>
      <c r="E57" s="19" t="s">
        <v>46</v>
      </c>
      <c r="F57" s="9"/>
      <c r="G57" s="9"/>
      <c r="H57" s="6"/>
    </row>
    <row r="58" spans="1:8" x14ac:dyDescent="0.25">
      <c r="A58" s="6" t="s">
        <v>45</v>
      </c>
      <c r="B58" s="13">
        <v>46.54</v>
      </c>
      <c r="C58" s="6">
        <v>1.47</v>
      </c>
      <c r="D58" s="14">
        <f t="shared" si="6"/>
        <v>68.413799999999995</v>
      </c>
      <c r="E58" s="19" t="s">
        <v>46</v>
      </c>
      <c r="F58" s="9"/>
      <c r="G58" s="9"/>
      <c r="H58" s="6"/>
    </row>
    <row r="59" spans="1:8" x14ac:dyDescent="0.25">
      <c r="A59" s="6" t="s">
        <v>45</v>
      </c>
      <c r="B59" s="13">
        <v>72.349999999999994</v>
      </c>
      <c r="C59" s="6">
        <v>0.98499999999999999</v>
      </c>
      <c r="D59" s="14">
        <f t="shared" si="6"/>
        <v>71.264749999999992</v>
      </c>
      <c r="E59" s="19" t="s">
        <v>46</v>
      </c>
    </row>
    <row r="60" spans="1:8" x14ac:dyDescent="0.25">
      <c r="A60" s="6" t="s">
        <v>45</v>
      </c>
      <c r="B60" s="13">
        <v>143.99</v>
      </c>
      <c r="C60" s="6">
        <v>0.99</v>
      </c>
      <c r="D60" s="14">
        <f t="shared" si="6"/>
        <v>142.55010000000001</v>
      </c>
      <c r="E60" s="19" t="s">
        <v>46</v>
      </c>
    </row>
    <row r="61" spans="1:8" x14ac:dyDescent="0.25">
      <c r="A61" s="6" t="s">
        <v>45</v>
      </c>
      <c r="B61" s="13">
        <v>333</v>
      </c>
      <c r="C61" s="6">
        <v>0.82</v>
      </c>
      <c r="D61" s="14">
        <f t="shared" si="6"/>
        <v>273.06</v>
      </c>
      <c r="E61" s="19" t="s">
        <v>46</v>
      </c>
    </row>
    <row r="62" spans="1:8" x14ac:dyDescent="0.25">
      <c r="A62" s="6" t="s">
        <v>53</v>
      </c>
      <c r="B62" s="13">
        <v>600</v>
      </c>
      <c r="C62" s="21">
        <v>0.2</v>
      </c>
      <c r="D62" s="14">
        <f t="shared" si="6"/>
        <v>120</v>
      </c>
      <c r="E62" s="20" t="s">
        <v>54</v>
      </c>
    </row>
  </sheetData>
  <phoneticPr fontId="6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 Instructions</vt:lpstr>
      <vt:lpstr>Overall Portfolio</vt:lpstr>
      <vt:lpstr>Stocks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</dc:creator>
  <cp:lastModifiedBy>Alfred</cp:lastModifiedBy>
  <dcterms:created xsi:type="dcterms:W3CDTF">2021-03-14T05:45:38Z</dcterms:created>
  <dcterms:modified xsi:type="dcterms:W3CDTF">2023-02-14T15:43:07Z</dcterms:modified>
</cp:coreProperties>
</file>